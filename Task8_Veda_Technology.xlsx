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sales_dataset_.csv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<sst xmlns="http://schemas.openxmlformats.org/spreadsheetml/2006/main" count="111" uniqueCount="22">
  <si>
    <t>Date</t>
  </si>
  <si>
    <t>Product</t>
  </si>
  <si>
    <t>Category</t>
  </si>
  <si>
    <t>Daily Total</t>
  </si>
  <si>
    <t>Qty</t>
  </si>
  <si>
    <t>Weekly Total</t>
  </si>
  <si>
    <t>Price</t>
  </si>
  <si>
    <t>Amount</t>
  </si>
  <si>
    <t>Monthly Total</t>
  </si>
  <si>
    <t>Verification Note</t>
  </si>
  <si>
    <t>Notebook</t>
  </si>
  <si>
    <t>Stationery</t>
  </si>
  <si>
    <t>Pen Set</t>
  </si>
  <si>
    <t>Wireless Mouse</t>
  </si>
  <si>
    <t>Electronics</t>
  </si>
  <si>
    <t>USB Cable</t>
  </si>
  <si>
    <t>Water Bottle</t>
  </si>
  <si>
    <t>Home</t>
  </si>
  <si>
    <t>Backpack</t>
  </si>
  <si>
    <t>Accessories</t>
  </si>
  <si>
    <t>Table Lamp</t>
  </si>
  <si>
    <t>Manual check: Aug 1 total = 400+900+1950 = 3250 ✓, Monthly total = 67100 ✓ verified.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</si>
</sst>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7</v>
      </c>
    </row>
    <row r="2">
      <c r="A2" s="2">
        <v>46235.0</v>
      </c>
      <c r="B2" s="1" t="s">
        <v>10</v>
      </c>
      <c r="C2" s="1" t="s">
        <v>11</v>
      </c>
      <c r="D2" s="1">
        <v>10.0</v>
      </c>
      <c r="E2" s="1">
        <v>40.0</v>
      </c>
      <c r="F2" s="1">
        <v>400.0</v>
      </c>
    </row>
    <row r="3">
      <c r="A3" s="2">
        <v>46235.0</v>
      </c>
      <c r="B3" s="1" t="s">
        <v>12</v>
      </c>
      <c r="C3" s="1" t="s">
        <v>11</v>
      </c>
      <c r="D3" s="1">
        <v>15.0</v>
      </c>
      <c r="E3" s="1">
        <v>60.0</v>
      </c>
      <c r="F3" s="1">
        <v>900.0</v>
      </c>
    </row>
    <row r="4">
      <c r="A4" s="2">
        <v>46235.0</v>
      </c>
      <c r="B4" s="1" t="s">
        <v>13</v>
      </c>
      <c r="C4" s="1" t="s">
        <v>14</v>
      </c>
      <c r="D4" s="1">
        <v>3.0</v>
      </c>
      <c r="E4" s="1">
        <v>650.0</v>
      </c>
      <c r="F4" s="1">
        <v>1950.0</v>
      </c>
    </row>
    <row r="5">
      <c r="A5" s="2">
        <v>46236.0</v>
      </c>
      <c r="B5" s="1" t="s">
        <v>15</v>
      </c>
      <c r="C5" s="1" t="s">
        <v>14</v>
      </c>
      <c r="D5" s="1">
        <v>8.0</v>
      </c>
      <c r="E5" s="1">
        <v>150.0</v>
      </c>
      <c r="F5" s="1">
        <v>1200.0</v>
      </c>
    </row>
    <row r="6">
      <c r="A6" s="2">
        <v>46236.0</v>
      </c>
      <c r="B6" s="1" t="s">
        <v>10</v>
      </c>
      <c r="C6" s="1" t="s">
        <v>11</v>
      </c>
      <c r="D6" s="1">
        <v>5.0</v>
      </c>
      <c r="E6" s="1">
        <v>40.0</v>
      </c>
      <c r="F6" s="1">
        <v>200.0</v>
      </c>
    </row>
    <row r="7">
      <c r="A7" s="2">
        <v>46236.0</v>
      </c>
      <c r="B7" s="1" t="s">
        <v>16</v>
      </c>
      <c r="C7" s="1" t="s">
        <v>17</v>
      </c>
      <c r="D7" s="1">
        <v>4.0</v>
      </c>
      <c r="E7" s="1">
        <v>250.0</v>
      </c>
      <c r="F7" s="1">
        <v>1000.0</v>
      </c>
    </row>
    <row r="8">
      <c r="A8" s="2">
        <v>46237.0</v>
      </c>
      <c r="B8" s="1" t="s">
        <v>18</v>
      </c>
      <c r="C8" s="1" t="s">
        <v>19</v>
      </c>
      <c r="D8" s="1">
        <v>2.0</v>
      </c>
      <c r="E8" s="1">
        <v>1200.0</v>
      </c>
      <c r="F8" s="1">
        <v>2400.0</v>
      </c>
    </row>
    <row r="9">
      <c r="A9" s="2">
        <v>46237.0</v>
      </c>
      <c r="B9" s="1" t="s">
        <v>12</v>
      </c>
      <c r="C9" s="1" t="s">
        <v>11</v>
      </c>
      <c r="D9" s="1">
        <v>10.0</v>
      </c>
      <c r="E9" s="1">
        <v>60.0</v>
      </c>
      <c r="F9" s="1">
        <v>600.0</v>
      </c>
    </row>
    <row r="10">
      <c r="A10" s="2">
        <v>46237.0</v>
      </c>
      <c r="B10" s="1" t="s">
        <v>13</v>
      </c>
      <c r="C10" s="1" t="s">
        <v>14</v>
      </c>
      <c r="D10" s="1">
        <v>2.0</v>
      </c>
      <c r="E10" s="1">
        <v>650.0</v>
      </c>
      <c r="F10" s="1">
        <v>1300.0</v>
      </c>
      <c r="G10" s="1" t="s">
        <v>11</v>
      </c>
    </row>
    <row r="11">
      <c r="A11" s="2">
        <v>46238.0</v>
      </c>
      <c r="B11" s="1" t="s">
        <v>10</v>
      </c>
      <c r="C11" s="1" t="s">
        <v>11</v>
      </c>
      <c r="D11" s="1">
        <v>12.0</v>
      </c>
      <c r="E11" s="1">
        <v>40.0</v>
      </c>
      <c r="F11" s="1">
        <v>480.0</v>
      </c>
    </row>
    <row r="12">
      <c r="A12" s="2">
        <v>46238.0</v>
      </c>
      <c r="B12" s="1" t="s">
        <v>20</v>
      </c>
      <c r="C12" s="1" t="s">
        <v>17</v>
      </c>
      <c r="D12" s="1">
        <v>3.0</v>
      </c>
      <c r="E12" s="1">
        <v>700.0</v>
      </c>
      <c r="F12" s="1">
        <v>2100.0</v>
      </c>
    </row>
    <row r="13">
      <c r="A13" s="2">
        <v>46238.0</v>
      </c>
      <c r="B13" s="1" t="s">
        <v>15</v>
      </c>
      <c r="C13" s="1" t="s">
        <v>14</v>
      </c>
      <c r="D13" s="1">
        <v>6.0</v>
      </c>
      <c r="E13" s="1">
        <v>150.0</v>
      </c>
      <c r="F13" s="1">
        <v>900.0</v>
      </c>
    </row>
    <row r="14">
      <c r="A14" s="2">
        <v>46239.0</v>
      </c>
      <c r="B14" s="1" t="s">
        <v>18</v>
      </c>
      <c r="C14" s="1" t="s">
        <v>19</v>
      </c>
      <c r="D14" s="1">
        <v>1.0</v>
      </c>
      <c r="E14" s="1">
        <v>1200.0</v>
      </c>
      <c r="F14" s="1">
        <v>1200.0</v>
      </c>
    </row>
    <row r="15">
      <c r="A15" s="2">
        <v>46239.0</v>
      </c>
      <c r="B15" s="1" t="s">
        <v>16</v>
      </c>
      <c r="C15" s="1" t="s">
        <v>17</v>
      </c>
      <c r="D15" s="1">
        <v>7.0</v>
      </c>
      <c r="E15" s="1">
        <v>250.0</v>
      </c>
      <c r="F15" s="1">
        <v>1750.0</v>
      </c>
    </row>
    <row r="16">
      <c r="A16" s="2">
        <v>46239.0</v>
      </c>
      <c r="B16" s="1" t="s">
        <v>12</v>
      </c>
      <c r="C16" s="1" t="s">
        <v>11</v>
      </c>
      <c r="D16" s="1">
        <v>8.0</v>
      </c>
      <c r="E16" s="1">
        <v>60.0</v>
      </c>
      <c r="F16" s="1">
        <v>480.0</v>
      </c>
    </row>
    <row r="17">
      <c r="A17" s="2">
        <v>46240.0</v>
      </c>
      <c r="B17" s="1" t="s">
        <v>13</v>
      </c>
      <c r="C17" s="1" t="s">
        <v>14</v>
      </c>
      <c r="D17" s="1">
        <v>4.0</v>
      </c>
      <c r="E17" s="1">
        <v>650.0</v>
      </c>
      <c r="F17" s="1">
        <v>2600.0</v>
      </c>
    </row>
    <row r="18">
      <c r="A18" s="2">
        <v>46240.0</v>
      </c>
      <c r="B18" s="1" t="s">
        <v>10</v>
      </c>
      <c r="C18" s="1" t="s">
        <v>11</v>
      </c>
      <c r="D18" s="1">
        <v>9.0</v>
      </c>
      <c r="E18" s="1">
        <v>40.0</v>
      </c>
      <c r="F18" s="1">
        <v>360.0</v>
      </c>
    </row>
    <row r="19">
      <c r="A19" s="2">
        <v>46240.0</v>
      </c>
      <c r="B19" s="1" t="s">
        <v>20</v>
      </c>
      <c r="C19" s="1" t="s">
        <v>17</v>
      </c>
      <c r="D19" s="1">
        <v>2.0</v>
      </c>
      <c r="E19" s="1">
        <v>700.0</v>
      </c>
      <c r="F19" s="1">
        <v>1400.0</v>
      </c>
    </row>
    <row r="20">
      <c r="A20" s="2">
        <v>46241.0</v>
      </c>
      <c r="B20" s="1" t="s">
        <v>15</v>
      </c>
      <c r="C20" s="1" t="s">
        <v>14</v>
      </c>
      <c r="D20" s="1">
        <v>10.0</v>
      </c>
      <c r="E20" s="1">
        <v>150.0</v>
      </c>
      <c r="F20" s="1">
        <v>1500.0</v>
      </c>
    </row>
    <row r="21">
      <c r="A21" s="2">
        <v>46241.0</v>
      </c>
      <c r="B21" s="1" t="s">
        <v>18</v>
      </c>
      <c r="C21" s="1" t="s">
        <v>19</v>
      </c>
      <c r="D21" s="1">
        <v>3.0</v>
      </c>
      <c r="E21" s="1">
        <v>1200.0</v>
      </c>
      <c r="F21" s="1">
        <v>3600.0</v>
      </c>
    </row>
    <row r="22">
      <c r="A22" s="2">
        <v>46242.0</v>
      </c>
      <c r="B22" s="1" t="s">
        <v>16</v>
      </c>
      <c r="C22" s="1" t="s">
        <v>17</v>
      </c>
      <c r="D22" s="1">
        <v>5.0</v>
      </c>
      <c r="E22" s="1">
        <v>250.0</v>
      </c>
      <c r="F22" s="1">
        <v>1250.0</v>
      </c>
    </row>
    <row r="23">
      <c r="A23" s="2">
        <v>46242.0</v>
      </c>
      <c r="B23" s="1" t="s">
        <v>12</v>
      </c>
      <c r="C23" s="1" t="s">
        <v>11</v>
      </c>
      <c r="D23" s="1">
        <v>12.0</v>
      </c>
      <c r="E23" s="1">
        <v>60.0</v>
      </c>
      <c r="F23" s="1">
        <v>720.0</v>
      </c>
    </row>
    <row r="24">
      <c r="A24" s="2">
        <v>46242.0</v>
      </c>
      <c r="B24" s="1" t="s">
        <v>10</v>
      </c>
      <c r="C24" s="1" t="s">
        <v>11</v>
      </c>
      <c r="D24" s="1">
        <v>6.0</v>
      </c>
      <c r="E24" s="1">
        <v>40.0</v>
      </c>
      <c r="F24" s="1">
        <v>240.0</v>
      </c>
    </row>
    <row r="25">
      <c r="A25" s="2">
        <v>46243.0</v>
      </c>
      <c r="B25" s="1" t="s">
        <v>13</v>
      </c>
      <c r="C25" s="1" t="s">
        <v>14</v>
      </c>
      <c r="D25" s="1">
        <v>5.0</v>
      </c>
      <c r="E25" s="1">
        <v>650.0</v>
      </c>
      <c r="F25" s="1">
        <v>3250.0</v>
      </c>
    </row>
    <row r="26">
      <c r="A26" s="2">
        <v>46243.0</v>
      </c>
      <c r="B26" s="1" t="s">
        <v>20</v>
      </c>
      <c r="C26" s="1" t="s">
        <v>17</v>
      </c>
      <c r="D26" s="1">
        <v>1.0</v>
      </c>
      <c r="E26" s="1">
        <v>700.0</v>
      </c>
      <c r="F26" s="1">
        <v>700.0</v>
      </c>
    </row>
    <row r="27">
      <c r="A27" s="2">
        <v>46244.0</v>
      </c>
      <c r="B27" s="1" t="s">
        <v>15</v>
      </c>
      <c r="C27" s="1" t="s">
        <v>14</v>
      </c>
      <c r="D27" s="1">
        <v>7.0</v>
      </c>
      <c r="E27" s="1">
        <v>150.0</v>
      </c>
      <c r="F27" s="1">
        <v>1050.0</v>
      </c>
    </row>
    <row r="28">
      <c r="A28" s="2">
        <v>46244.0</v>
      </c>
      <c r="B28" s="1" t="s">
        <v>18</v>
      </c>
      <c r="C28" s="1" t="s">
        <v>19</v>
      </c>
      <c r="D28" s="1">
        <v>2.0</v>
      </c>
      <c r="E28" s="1">
        <v>1200.0</v>
      </c>
      <c r="F28" s="1">
        <v>2400.0</v>
      </c>
    </row>
    <row r="29">
      <c r="A29" s="2">
        <v>46245.0</v>
      </c>
      <c r="B29" s="1" t="s">
        <v>10</v>
      </c>
      <c r="C29" s="1" t="s">
        <v>11</v>
      </c>
      <c r="D29" s="1">
        <v>14.0</v>
      </c>
      <c r="E29" s="1">
        <v>40.0</v>
      </c>
      <c r="F29" s="1">
        <v>560.0</v>
      </c>
    </row>
    <row r="30">
      <c r="A30" s="2">
        <v>46245.0</v>
      </c>
      <c r="B30" s="1" t="s">
        <v>16</v>
      </c>
      <c r="C30" s="1" t="s">
        <v>17</v>
      </c>
      <c r="D30" s="1">
        <v>3.0</v>
      </c>
      <c r="E30" s="1">
        <v>250.0</v>
      </c>
      <c r="F30" s="1">
        <v>750.0</v>
      </c>
    </row>
    <row r="31">
      <c r="A31" s="2">
        <v>46246.0</v>
      </c>
      <c r="B31" s="1" t="s">
        <v>12</v>
      </c>
      <c r="C31" s="1" t="s">
        <v>11</v>
      </c>
      <c r="D31" s="1">
        <v>9.0</v>
      </c>
      <c r="E31" s="1">
        <v>60.0</v>
      </c>
      <c r="F31" s="1">
        <v>540.0</v>
      </c>
    </row>
    <row r="32">
      <c r="A32" s="2">
        <v>46246.0</v>
      </c>
      <c r="B32" s="1" t="s">
        <v>13</v>
      </c>
      <c r="C32" s="1" t="s">
        <v>14</v>
      </c>
      <c r="D32" s="1">
        <v>6.0</v>
      </c>
      <c r="E32" s="1">
        <v>650.0</v>
      </c>
      <c r="F32" s="1">
        <v>3900.0</v>
      </c>
    </row>
    <row r="33">
      <c r="A33" s="2">
        <v>46247.0</v>
      </c>
      <c r="B33" s="1" t="s">
        <v>20</v>
      </c>
      <c r="C33" s="1" t="s">
        <v>17</v>
      </c>
      <c r="D33" s="1">
        <v>4.0</v>
      </c>
      <c r="E33" s="1">
        <v>700.0</v>
      </c>
      <c r="F33" s="1">
        <v>2800.0</v>
      </c>
    </row>
    <row r="34">
      <c r="A34" s="2">
        <v>46247.0</v>
      </c>
      <c r="B34" s="1" t="s">
        <v>15</v>
      </c>
      <c r="C34" s="1" t="s">
        <v>14</v>
      </c>
      <c r="D34" s="1">
        <v>5.0</v>
      </c>
      <c r="E34" s="1">
        <v>150.0</v>
      </c>
      <c r="F34" s="1">
        <v>750.0</v>
      </c>
    </row>
    <row r="35">
      <c r="A35" s="2">
        <v>46248.0</v>
      </c>
      <c r="B35" s="1" t="s">
        <v>18</v>
      </c>
      <c r="C35" s="1" t="s">
        <v>19</v>
      </c>
      <c r="D35" s="1">
        <v>1.0</v>
      </c>
      <c r="E35" s="1">
        <v>1200.0</v>
      </c>
      <c r="F35" s="1">
        <v>1200.0</v>
      </c>
    </row>
    <row r="36">
      <c r="A36" s="2">
        <v>46248.0</v>
      </c>
      <c r="B36" s="1" t="s">
        <v>10</v>
      </c>
      <c r="C36" s="1" t="s">
        <v>11</v>
      </c>
      <c r="D36" s="1">
        <v>7.0</v>
      </c>
      <c r="E36" s="1">
        <v>40.0</v>
      </c>
      <c r="F36" s="1">
        <v>280.0</v>
      </c>
    </row>
    <row r="37">
      <c r="A37" s="2">
        <v>46249.0</v>
      </c>
      <c r="B37" s="1" t="s">
        <v>16</v>
      </c>
      <c r="C37" s="1" t="s">
        <v>17</v>
      </c>
      <c r="D37" s="1">
        <v>6.0</v>
      </c>
      <c r="E37" s="1">
        <v>250.0</v>
      </c>
      <c r="F37" s="1">
        <v>1500.0</v>
      </c>
    </row>
    <row r="38">
      <c r="A38" s="2">
        <v>46249.0</v>
      </c>
      <c r="B38" s="1" t="s">
        <v>12</v>
      </c>
      <c r="C38" s="1" t="s">
        <v>11</v>
      </c>
      <c r="D38" s="1">
        <v>11.0</v>
      </c>
      <c r="E38" s="1">
        <v>60.0</v>
      </c>
      <c r="F38" s="1">
        <v>660.0</v>
      </c>
    </row>
    <row r="39">
      <c r="A39" s="2">
        <v>46250.0</v>
      </c>
      <c r="B39" s="1" t="s">
        <v>13</v>
      </c>
      <c r="C39" s="1" t="s">
        <v>14</v>
      </c>
      <c r="D39" s="1">
        <v>3.0</v>
      </c>
      <c r="E39" s="1">
        <v>650.0</v>
      </c>
      <c r="F39" s="1">
        <v>1950.0</v>
      </c>
    </row>
    <row r="40">
      <c r="A40" s="2">
        <v>46250.0</v>
      </c>
      <c r="B40" s="1" t="s">
        <v>20</v>
      </c>
      <c r="C40" s="1" t="s">
        <v>17</v>
      </c>
      <c r="D40" s="1">
        <v>2.0</v>
      </c>
      <c r="E40" s="1">
        <v>700.0</v>
      </c>
      <c r="F40" s="1">
        <v>1400.0</v>
      </c>
    </row>
    <row r="41">
      <c r="A41" s="2">
        <v>46251.0</v>
      </c>
      <c r="B41" s="1" t="s">
        <v>15</v>
      </c>
      <c r="C41" s="1" t="s">
        <v>14</v>
      </c>
      <c r="D41" s="1">
        <v>9.0</v>
      </c>
      <c r="E41" s="1">
        <v>150.0</v>
      </c>
      <c r="F41" s="1">
        <v>1350.0</v>
      </c>
    </row>
    <row r="42">
      <c r="A42" s="2">
        <v>46251.0</v>
      </c>
      <c r="B42" s="1" t="s">
        <v>18</v>
      </c>
      <c r="C42" s="1" t="s">
        <v>19</v>
      </c>
      <c r="D42" s="1">
        <v>4.0</v>
      </c>
      <c r="E42" s="1">
        <v>1200.0</v>
      </c>
      <c r="F42" s="1">
        <v>4800.0</v>
      </c>
    </row>
    <row r="43">
      <c r="A43" s="2">
        <v>46252.0</v>
      </c>
      <c r="B43" s="1" t="s">
        <v>10</v>
      </c>
      <c r="C43" s="1" t="s">
        <v>11</v>
      </c>
      <c r="D43" s="1">
        <v>8.0</v>
      </c>
      <c r="E43" s="1">
        <v>40.0</v>
      </c>
      <c r="F43" s="1">
        <v>320.0</v>
      </c>
    </row>
    <row r="44">
      <c r="A44" s="2">
        <v>46252.0</v>
      </c>
      <c r="B44" s="1" t="s">
        <v>16</v>
      </c>
      <c r="C44" s="1" t="s">
        <v>17</v>
      </c>
      <c r="D44" s="1">
        <v>5.0</v>
      </c>
      <c r="E44" s="1">
        <v>250.0</v>
      </c>
      <c r="F44" s="1">
        <v>1250.0</v>
      </c>
    </row>
    <row r="45">
      <c r="A45" s="2">
        <v>46253.0</v>
      </c>
      <c r="B45" s="1" t="s">
        <v>12</v>
      </c>
      <c r="C45" s="1" t="s">
        <v>11</v>
      </c>
      <c r="D45" s="1">
        <v>6.0</v>
      </c>
      <c r="E45" s="1">
        <v>60.0</v>
      </c>
      <c r="F45" s="1">
        <v>360.0</v>
      </c>
    </row>
    <row r="46">
      <c r="A46" s="2">
        <v>46253.0</v>
      </c>
      <c r="B46" s="1" t="s">
        <v>13</v>
      </c>
      <c r="C46" s="1" t="s">
        <v>14</v>
      </c>
      <c r="D46" s="1">
        <v>2.0</v>
      </c>
      <c r="E46" s="1">
        <v>650.0</v>
      </c>
      <c r="F46" s="1">
        <v>1300.0</v>
      </c>
    </row>
    <row r="47">
      <c r="A47" s="2">
        <v>46254.0</v>
      </c>
      <c r="B47" s="1" t="s">
        <v>20</v>
      </c>
      <c r="C47" s="1" t="s">
        <v>17</v>
      </c>
      <c r="D47" s="1">
        <v>3.0</v>
      </c>
      <c r="E47" s="1">
        <v>700.0</v>
      </c>
      <c r="F47" s="1">
        <v>2100.0</v>
      </c>
    </row>
    <row r="48">
      <c r="A48" s="2">
        <v>46254.0</v>
      </c>
      <c r="B48" s="1" t="s">
        <v>15</v>
      </c>
      <c r="C48" s="1" t="s">
        <v>14</v>
      </c>
      <c r="D48" s="1">
        <v>4.0</v>
      </c>
      <c r="E48" s="1">
        <v>150.0</v>
      </c>
      <c r="F48" s="1">
        <v>600.0</v>
      </c>
    </row>
    <row r="49">
      <c r="A49" s="2">
        <v>46255.0</v>
      </c>
      <c r="B49" s="1" t="s">
        <v>18</v>
      </c>
      <c r="C49" s="1" t="s">
        <v>19</v>
      </c>
      <c r="D49" s="1">
        <v>2.0</v>
      </c>
      <c r="E49" s="1">
        <v>1200.0</v>
      </c>
      <c r="F49" s="1">
        <v>2400.0</v>
      </c>
    </row>
    <row r="50">
      <c r="A50" s="2">
        <v>46255.0</v>
      </c>
      <c r="B50" s="1" t="s">
        <v>10</v>
      </c>
      <c r="C50" s="1" t="s">
        <v>11</v>
      </c>
      <c r="D50" s="1">
        <v>10.0</v>
      </c>
      <c r="E50" s="1">
        <v>40.0</v>
      </c>
      <c r="F50" s="1">
        <v>400.0</v>
      </c>
    </row>
  </sheetData>
  <dataValidations>
    <dataValidation type="list" allowBlank="1" showErrorMessage="1" sqref="G10">
      <formula1>"Stationery,Electronics,Home,Accessories"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13"/>
  </cols>
  <sheetData>
    <row r="1">
      <c r="A1" s="1" t="s">
        <v>0</v>
      </c>
      <c r="B1" s="1" t="s">
        <v>3</v>
      </c>
      <c r="C1" s="1" t="s">
        <v>5</v>
      </c>
      <c r="D1" s="1" t="s">
        <v>8</v>
      </c>
      <c r="F1" s="1" t="s">
        <v>9</v>
      </c>
    </row>
    <row r="2">
      <c r="A2" s="2">
        <v>46235.0</v>
      </c>
      <c r="B2" s="3">
        <f>SUMIFS(raw_sales_dataset_.csv!F:F, raw_sales_dataset_.csv!A:A, A2)</f>
        <v>3250</v>
      </c>
      <c r="C2" s="3">
        <f>SUMIFS(raw_sales_dataset_.csv!F:F, raw_sales_dataset_.csv!A:A, "&gt;="&amp;A2, raw_sales_dataset_.csv!A:A, "&lt;="&amp;A2+6)</f>
        <v>26320</v>
      </c>
      <c r="D2" s="3">
        <f>SUMIFS(raw_sales_dataset_.csv!F:F, raw_sales_dataset_.csv!A:A, "&gt;="&amp;DATE(2026,8,1), raw_sales_dataset_.csv!A:A, "&lt;="&amp;DATE(2026,8,31))</f>
        <v>67100</v>
      </c>
      <c r="F2" s="1" t="s">
        <v>21</v>
      </c>
    </row>
    <row r="3">
      <c r="A3" s="2">
        <v>46236.0</v>
      </c>
      <c r="B3" s="3">
        <f>SUMIFS(raw_sales_dataset_.csv!F:F, raw_sales_dataset_.csv!A:A, A3)</f>
        <v>2400</v>
      </c>
      <c r="C3" s="3">
        <f>SUMIFS(raw_sales_dataset_.csv!F:F, raw_sales_dataset_.csv!A:A, "&gt;="&amp;A3, raw_sales_dataset_.csv!A:A, "&lt;="&amp;A3+6)</f>
        <v>25280</v>
      </c>
      <c r="D3" s="3">
        <f>SUMIFS(raw_sales_dataset_.csv!F:F, raw_sales_dataset_.csv!A:A, "&gt;="&amp;DATE(2026,8,2), raw_sales_dataset_.csv!A:A, "&lt;="&amp;DATE(2026,8,31))</f>
        <v>63850</v>
      </c>
    </row>
    <row r="4">
      <c r="A4" s="2">
        <v>46237.0</v>
      </c>
      <c r="B4" s="3">
        <f>SUMIFS(raw_sales_dataset_.csv!F:F, raw_sales_dataset_.csv!A:A, A4)</f>
        <v>4300</v>
      </c>
      <c r="C4" s="3">
        <f>SUMIFS(raw_sales_dataset_.csv!F:F, raw_sales_dataset_.csv!A:A, "&gt;="&amp;A4, raw_sales_dataset_.csv!A:A, "&lt;="&amp;A4+6)</f>
        <v>26830</v>
      </c>
      <c r="D4" s="3">
        <f>SUMIFS(raw_sales_dataset_.csv!F:F, raw_sales_dataset_.csv!A:A, "&gt;="&amp;DATE(2026,8,3), raw_sales_dataset_.csv!A:A, "&lt;="&amp;DATE(2026,8,31))</f>
        <v>61450</v>
      </c>
    </row>
    <row r="5">
      <c r="A5" s="2">
        <v>46238.0</v>
      </c>
      <c r="B5" s="3">
        <f>SUMIFS(raw_sales_dataset_.csv!F:F, raw_sales_dataset_.csv!A:A, A5)</f>
        <v>3480</v>
      </c>
      <c r="C5" s="3">
        <f>SUMIFS(raw_sales_dataset_.csv!F:F, raw_sales_dataset_.csv!A:A, "&gt;="&amp;A5, raw_sales_dataset_.csv!A:A, "&lt;="&amp;A5+6)</f>
        <v>25980</v>
      </c>
      <c r="D5" s="3">
        <f>SUMIFS(raw_sales_dataset_.csv!F:F, raw_sales_dataset_.csv!A:A, "&gt;="&amp;DATE(2026,8,4), raw_sales_dataset_.csv!A:A, "&lt;="&amp;DATE(2026,8,31))</f>
        <v>57150</v>
      </c>
    </row>
    <row r="6">
      <c r="A6" s="2">
        <v>46239.0</v>
      </c>
      <c r="B6" s="3">
        <f>SUMIFS(raw_sales_dataset_.csv!F:F, raw_sales_dataset_.csv!A:A, A6)</f>
        <v>3430</v>
      </c>
      <c r="C6" s="3">
        <f>SUMIFS(raw_sales_dataset_.csv!F:F, raw_sales_dataset_.csv!A:A, "&gt;="&amp;A6, raw_sales_dataset_.csv!A:A, "&lt;="&amp;A6+6)</f>
        <v>23810</v>
      </c>
      <c r="D6" s="3">
        <f>SUMIFS(raw_sales_dataset_.csv!F:F, raw_sales_dataset_.csv!A:A, "&gt;="&amp;DATE(2026,8,5), raw_sales_dataset_.csv!A:A, "&lt;="&amp;DATE(2026,8,31))</f>
        <v>53670</v>
      </c>
    </row>
    <row r="7">
      <c r="A7" s="2">
        <v>46240.0</v>
      </c>
      <c r="B7" s="3">
        <f>SUMIFS(raw_sales_dataset_.csv!F:F, raw_sales_dataset_.csv!A:A, A7)</f>
        <v>4360</v>
      </c>
      <c r="C7" s="3">
        <f>SUMIFS(raw_sales_dataset_.csv!F:F, raw_sales_dataset_.csv!A:A, "&gt;="&amp;A7, raw_sales_dataset_.csv!A:A, "&lt;="&amp;A7+6)</f>
        <v>24820</v>
      </c>
      <c r="D7" s="3">
        <f>SUMIFS(raw_sales_dataset_.csv!F:F, raw_sales_dataset_.csv!A:A, "&gt;="&amp;DATE(2026,8,6), raw_sales_dataset_.csv!A:A, "&lt;="&amp;DATE(2026,8,31))</f>
        <v>50240</v>
      </c>
    </row>
    <row r="8">
      <c r="A8" s="2">
        <v>46241.0</v>
      </c>
      <c r="B8" s="3">
        <f>SUMIFS(raw_sales_dataset_.csv!F:F, raw_sales_dataset_.csv!A:A, A8)</f>
        <v>5100</v>
      </c>
      <c r="C8" s="3">
        <f>SUMIFS(raw_sales_dataset_.csv!F:F, raw_sales_dataset_.csv!A:A, "&gt;="&amp;A8, raw_sales_dataset_.csv!A:A, "&lt;="&amp;A8+6)</f>
        <v>24010</v>
      </c>
      <c r="D8" s="3">
        <f>SUMIFS(raw_sales_dataset_.csv!F:F, raw_sales_dataset_.csv!A:A, "&gt;="&amp;DATE(2026,8,7), raw_sales_dataset_.csv!A:A, "&lt;="&amp;DATE(2026,8,31))</f>
        <v>45880</v>
      </c>
    </row>
    <row r="9">
      <c r="A9" s="2">
        <v>46242.0</v>
      </c>
      <c r="B9" s="3">
        <f>SUMIFS(raw_sales_dataset_.csv!F:F, raw_sales_dataset_.csv!A:A, A9)</f>
        <v>2210</v>
      </c>
      <c r="C9" s="3">
        <f>SUMIFS(raw_sales_dataset_.csv!F:F, raw_sales_dataset_.csv!A:A, "&gt;="&amp;A9, raw_sales_dataset_.csv!A:A, "&lt;="&amp;A9+6)</f>
        <v>20390</v>
      </c>
      <c r="D9" s="3">
        <f>SUMIFS(raw_sales_dataset_.csv!F:F, raw_sales_dataset_.csv!A:A, "&gt;="&amp;DATE(2026,8,8), raw_sales_dataset_.csv!A:A, "&lt;="&amp;DATE(2026,8,31))</f>
        <v>40780</v>
      </c>
    </row>
    <row r="10">
      <c r="A10" s="2">
        <v>46243.0</v>
      </c>
      <c r="B10" s="3">
        <f>SUMIFS(raw_sales_dataset_.csv!F:F, raw_sales_dataset_.csv!A:A, A10)</f>
        <v>3950</v>
      </c>
      <c r="C10" s="3">
        <f>SUMIFS(raw_sales_dataset_.csv!F:F, raw_sales_dataset_.csv!A:A, "&gt;="&amp;A10, raw_sales_dataset_.csv!A:A, "&lt;="&amp;A10+6)</f>
        <v>20340</v>
      </c>
      <c r="D10" s="3">
        <f>SUMIFS(raw_sales_dataset_.csv!F:F, raw_sales_dataset_.csv!A:A, "&gt;="&amp;DATE(2026,8,9), raw_sales_dataset_.csv!A:A, "&lt;="&amp;DATE(2026,8,31))</f>
        <v>38570</v>
      </c>
    </row>
    <row r="11">
      <c r="A11" s="2">
        <v>46244.0</v>
      </c>
      <c r="B11" s="3">
        <f>SUMIFS(raw_sales_dataset_.csv!F:F, raw_sales_dataset_.csv!A:A, A11)</f>
        <v>3450</v>
      </c>
      <c r="C11" s="3">
        <f>SUMIFS(raw_sales_dataset_.csv!F:F, raw_sales_dataset_.csv!A:A, "&gt;="&amp;A11, raw_sales_dataset_.csv!A:A, "&lt;="&amp;A11+6)</f>
        <v>19740</v>
      </c>
      <c r="D11" s="3">
        <f>SUMIFS(raw_sales_dataset_.csv!F:F, raw_sales_dataset_.csv!A:A, "&gt;="&amp;DATE(2026,8,10), raw_sales_dataset_.csv!A:A, "&lt;="&amp;DATE(2026,8,31))</f>
        <v>34620</v>
      </c>
    </row>
    <row r="12">
      <c r="A12" s="2">
        <v>46245.0</v>
      </c>
      <c r="B12" s="3">
        <f>SUMIFS(raw_sales_dataset_.csv!F:F, raw_sales_dataset_.csv!A:A, A12)</f>
        <v>1310</v>
      </c>
      <c r="C12" s="3">
        <f>SUMIFS(raw_sales_dataset_.csv!F:F, raw_sales_dataset_.csv!A:A, "&gt;="&amp;A12, raw_sales_dataset_.csv!A:A, "&lt;="&amp;A12+6)</f>
        <v>22440</v>
      </c>
      <c r="D12" s="3">
        <f>SUMIFS(raw_sales_dataset_.csv!F:F, raw_sales_dataset_.csv!A:A, "&gt;="&amp;DATE(2026,8,11), raw_sales_dataset_.csv!A:A, "&lt;="&amp;DATE(2026,8,31))</f>
        <v>31170</v>
      </c>
    </row>
    <row r="13">
      <c r="A13" s="2">
        <v>46246.0</v>
      </c>
      <c r="B13" s="3">
        <f>SUMIFS(raw_sales_dataset_.csv!F:F, raw_sales_dataset_.csv!A:A, A13)</f>
        <v>4440</v>
      </c>
      <c r="C13" s="3">
        <f>SUMIFS(raw_sales_dataset_.csv!F:F, raw_sales_dataset_.csv!A:A, "&gt;="&amp;A13, raw_sales_dataset_.csv!A:A, "&lt;="&amp;A13+6)</f>
        <v>22700</v>
      </c>
      <c r="D13" s="3">
        <f>SUMIFS(raw_sales_dataset_.csv!F:F, raw_sales_dataset_.csv!A:A, "&gt;="&amp;DATE(2026,8,12), raw_sales_dataset_.csv!A:A, "&lt;="&amp;DATE(2026,8,31))</f>
        <v>29860</v>
      </c>
    </row>
    <row r="14">
      <c r="A14" s="2">
        <v>46247.0</v>
      </c>
      <c r="B14" s="3">
        <f>SUMIFS(raw_sales_dataset_.csv!F:F, raw_sales_dataset_.csv!A:A, A14)</f>
        <v>3550</v>
      </c>
      <c r="C14" s="3">
        <f>SUMIFS(raw_sales_dataset_.csv!F:F, raw_sales_dataset_.csv!A:A, "&gt;="&amp;A14, raw_sales_dataset_.csv!A:A, "&lt;="&amp;A14+6)</f>
        <v>19920</v>
      </c>
      <c r="D14" s="3">
        <f>SUMIFS(raw_sales_dataset_.csv!F:F, raw_sales_dataset_.csv!A:A, "&gt;="&amp;DATE(2026,8,13), raw_sales_dataset_.csv!A:A, "&lt;="&amp;DATE(2026,8,31))</f>
        <v>25420</v>
      </c>
    </row>
    <row r="15">
      <c r="A15" s="2">
        <v>46248.0</v>
      </c>
      <c r="B15" s="3">
        <f>SUMIFS(raw_sales_dataset_.csv!F:F, raw_sales_dataset_.csv!A:A, A15)</f>
        <v>1480</v>
      </c>
      <c r="C15" s="3">
        <f>SUMIFS(raw_sales_dataset_.csv!F:F, raw_sales_dataset_.csv!A:A, "&gt;="&amp;A15, raw_sales_dataset_.csv!A:A, "&lt;="&amp;A15+6)</f>
        <v>19070</v>
      </c>
      <c r="D15" s="3">
        <f>SUMIFS(raw_sales_dataset_.csv!F:F, raw_sales_dataset_.csv!A:A, "&gt;="&amp;DATE(2026,8,14), raw_sales_dataset_.csv!A:A, "&lt;="&amp;DATE(2026,8,31))</f>
        <v>21870</v>
      </c>
    </row>
    <row r="16">
      <c r="A16" s="2">
        <v>46249.0</v>
      </c>
      <c r="B16" s="3">
        <f>SUMIFS(raw_sales_dataset_.csv!F:F, raw_sales_dataset_.csv!A:A, A16)</f>
        <v>2160</v>
      </c>
      <c r="C16" s="3">
        <f>SUMIFS(raw_sales_dataset_.csv!F:F, raw_sales_dataset_.csv!A:A, "&gt;="&amp;A16, raw_sales_dataset_.csv!A:A, "&lt;="&amp;A16+6)</f>
        <v>20390</v>
      </c>
      <c r="D16" s="3">
        <f>SUMIFS(raw_sales_dataset_.csv!F:F, raw_sales_dataset_.csv!A:A, "&gt;="&amp;DATE(2026,8,15), raw_sales_dataset_.csv!A:A, "&lt;="&amp;DATE(2026,8,31))</f>
        <v>20390</v>
      </c>
    </row>
    <row r="17">
      <c r="A17" s="2">
        <v>46250.0</v>
      </c>
      <c r="B17" s="3">
        <f>SUMIFS(raw_sales_dataset_.csv!F:F, raw_sales_dataset_.csv!A:A, A17)</f>
        <v>3350</v>
      </c>
      <c r="C17" s="3">
        <f>SUMIFS(raw_sales_dataset_.csv!F:F, raw_sales_dataset_.csv!A:A, "&gt;="&amp;A17, raw_sales_dataset_.csv!A:A, "&lt;="&amp;A17+6)</f>
        <v>18230</v>
      </c>
      <c r="D17" s="3">
        <f>SUMIFS(raw_sales_dataset_.csv!F:F, raw_sales_dataset_.csv!A:A, "&gt;="&amp;DATE(2026,8,16), raw_sales_dataset_.csv!A:A, "&lt;="&amp;DATE(2026,8,31))</f>
        <v>18230</v>
      </c>
    </row>
    <row r="18">
      <c r="A18" s="2">
        <v>46251.0</v>
      </c>
      <c r="B18" s="3">
        <f>SUMIFS(raw_sales_dataset_.csv!F:F, raw_sales_dataset_.csv!A:A, A18)</f>
        <v>6150</v>
      </c>
      <c r="C18" s="3">
        <f>SUMIFS(raw_sales_dataset_.csv!F:F, raw_sales_dataset_.csv!A:A, "&gt;="&amp;A18, raw_sales_dataset_.csv!A:A, "&lt;="&amp;A18+6)</f>
        <v>14880</v>
      </c>
      <c r="D18" s="3">
        <f>SUMIFS(raw_sales_dataset_.csv!F:F, raw_sales_dataset_.csv!A:A, "&gt;="&amp;DATE(2026,8,17), raw_sales_dataset_.csv!A:A, "&lt;="&amp;DATE(2026,8,31))</f>
        <v>14880</v>
      </c>
    </row>
    <row r="19">
      <c r="A19" s="2">
        <v>46252.0</v>
      </c>
      <c r="B19" s="3">
        <f>SUMIFS(raw_sales_dataset_.csv!F:F, raw_sales_dataset_.csv!A:A, A19)</f>
        <v>1570</v>
      </c>
      <c r="C19" s="3">
        <f>SUMIFS(raw_sales_dataset_.csv!F:F, raw_sales_dataset_.csv!A:A, "&gt;="&amp;A19, raw_sales_dataset_.csv!A:A, "&lt;="&amp;A19+6)</f>
        <v>8730</v>
      </c>
      <c r="D19" s="3">
        <f>SUMIFS(raw_sales_dataset_.csv!F:F, raw_sales_dataset_.csv!A:A, "&gt;="&amp;DATE(2026,8,18), raw_sales_dataset_.csv!A:A, "&lt;="&amp;DATE(2026,8,31))</f>
        <v>8730</v>
      </c>
    </row>
    <row r="20">
      <c r="A20" s="2">
        <v>46253.0</v>
      </c>
      <c r="B20" s="3">
        <f>SUMIFS(raw_sales_dataset_.csv!F:F, raw_sales_dataset_.csv!A:A, A20)</f>
        <v>1660</v>
      </c>
      <c r="C20" s="3">
        <f>SUMIFS(raw_sales_dataset_.csv!F:F, raw_sales_dataset_.csv!A:A, "&gt;="&amp;A20, raw_sales_dataset_.csv!A:A, "&lt;="&amp;A20+6)</f>
        <v>7160</v>
      </c>
      <c r="D20" s="3">
        <f>SUMIFS(raw_sales_dataset_.csv!F:F, raw_sales_dataset_.csv!A:A, "&gt;="&amp;DATE(2026,8,19), raw_sales_dataset_.csv!A:A, "&lt;="&amp;DATE(2026,8,31))</f>
        <v>7160</v>
      </c>
    </row>
    <row r="21">
      <c r="A21" s="2">
        <v>46254.0</v>
      </c>
      <c r="B21" s="3">
        <f>SUMIFS(raw_sales_dataset_.csv!F:F, raw_sales_dataset_.csv!A:A, A21)</f>
        <v>2700</v>
      </c>
      <c r="C21" s="3">
        <f>SUMIFS(raw_sales_dataset_.csv!F:F, raw_sales_dataset_.csv!A:A, "&gt;="&amp;A21, raw_sales_dataset_.csv!A:A, "&lt;="&amp;A21+6)</f>
        <v>5500</v>
      </c>
      <c r="D21" s="3">
        <f>SUMIFS(raw_sales_dataset_.csv!F:F, raw_sales_dataset_.csv!A:A, "&gt;="&amp;DATE(2026,8,20), raw_sales_dataset_.csv!A:A, "&lt;="&amp;DATE(2026,8,31))</f>
        <v>5500</v>
      </c>
    </row>
    <row r="22">
      <c r="A22" s="2">
        <v>46255.0</v>
      </c>
      <c r="B22" s="3">
        <f>SUMIFS(raw_sales_dataset_.csv!F:F, raw_sales_dataset_.csv!A:A, A22)</f>
        <v>2800</v>
      </c>
      <c r="C22" s="3">
        <f>SUMIFS(raw_sales_dataset_.csv!F:F, raw_sales_dataset_.csv!A:A, "&gt;="&amp;A22, raw_sales_dataset_.csv!A:A, "&lt;="&amp;A22+6)</f>
        <v>2800</v>
      </c>
      <c r="D22" s="3">
        <f>SUMIFS(raw_sales_dataset_.csv!F:F, raw_sales_dataset_.csv!A:A, "&gt;="&amp;DATE(2026,8,21), raw_sales_dataset_.csv!A:A, "&lt;="&amp;DATE(2026,8,31))</f>
        <v>2800</v>
      </c>
    </row>
  </sheetData>
  <drawing r:id="rId1"/>
</worksheet>
</file>